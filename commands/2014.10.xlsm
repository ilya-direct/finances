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240" yWindow="555" windowWidth="18960" windowHeight="7455"/>
  </bookViews>
  <sheets>
    <sheet name="Лист1" sheetId="2" r:id="rId1"/>
  </sheets>
  <functionGroups builtInGroupCount="17"/>
  <definedNames>
    <definedName name="Автошкола">#REF!</definedName>
  </definedNames>
  <calcPr calcId="145621"/>
</workbook>
</file>

<file path=xl/calcChain.xml><?xml version="1.0" encoding="utf-8"?>
<calcChain xmlns="http://schemas.openxmlformats.org/spreadsheetml/2006/main">
  <c r="V39" i="2" l="1"/>
  <c r="Q40" i="2"/>
  <c r="S39" i="2"/>
  <c r="S37" i="2"/>
  <c r="S35" i="2"/>
  <c r="S33" i="2"/>
  <c r="S31" i="2"/>
  <c r="S29" i="2"/>
  <c r="S27" i="2"/>
  <c r="S25" i="2"/>
  <c r="S23" i="2"/>
  <c r="S19" i="2"/>
  <c r="S13" i="2"/>
  <c r="S9" i="2"/>
  <c r="K11" i="2"/>
  <c r="S20" i="2"/>
  <c r="S10" i="2"/>
  <c r="K38" i="2"/>
  <c r="K34" i="2"/>
  <c r="K28" i="2"/>
  <c r="K22" i="2"/>
  <c r="K14" i="2"/>
  <c r="O40" i="2"/>
  <c r="K39" i="2"/>
  <c r="K37" i="2"/>
  <c r="K35" i="2"/>
  <c r="K33" i="2"/>
  <c r="K31" i="2"/>
  <c r="K29" i="2"/>
  <c r="K27" i="2"/>
  <c r="K25" i="2"/>
  <c r="K23" i="2"/>
  <c r="K21" i="2"/>
  <c r="K19" i="2"/>
  <c r="K17" i="2"/>
  <c r="K15" i="2"/>
  <c r="K13" i="2"/>
  <c r="K9" i="2"/>
  <c r="S18" i="2"/>
  <c r="E40" i="2"/>
  <c r="K32" i="2"/>
  <c r="K26" i="2"/>
  <c r="K20" i="2"/>
  <c r="K16" i="2"/>
  <c r="K10" i="2"/>
  <c r="I40" i="2"/>
  <c r="S38" i="2"/>
  <c r="S34" i="2"/>
  <c r="S32" i="2"/>
  <c r="S30" i="2"/>
  <c r="S28" i="2"/>
  <c r="S26" i="2"/>
  <c r="S24" i="2"/>
  <c r="S16" i="2"/>
  <c r="S12" i="2"/>
  <c r="K36" i="2"/>
  <c r="K30" i="2"/>
  <c r="K24" i="2"/>
  <c r="K18" i="2"/>
  <c r="K12" i="2"/>
  <c r="V37" i="2" l="1"/>
  <c r="V33" i="2" l="1"/>
  <c r="L36" i="2"/>
  <c r="S36" i="2"/>
  <c r="V32" i="2" l="1"/>
  <c r="V29" i="2" l="1"/>
  <c r="V25" i="2" l="1"/>
  <c r="V23" i="2" l="1"/>
  <c r="V21" i="2" l="1"/>
  <c r="L22" i="2"/>
  <c r="S22" i="2"/>
  <c r="V18" i="2" l="1"/>
  <c r="L21" i="2"/>
  <c r="S21" i="2"/>
  <c r="L17" i="2" l="1"/>
  <c r="V16" i="2"/>
  <c r="S17" i="2"/>
  <c r="V15" i="2" l="1"/>
  <c r="V12" i="2"/>
  <c r="L14" i="2"/>
  <c r="L15" i="2"/>
  <c r="S15" i="2"/>
  <c r="S14" i="2"/>
  <c r="V11" i="2" l="1"/>
  <c r="E5" i="2" l="1"/>
  <c r="G42" i="2" s="1"/>
  <c r="L11" i="2" l="1"/>
  <c r="S11" i="2"/>
  <c r="E45" i="2" l="1"/>
  <c r="W40" i="2" l="1"/>
  <c r="W20" i="2" l="1"/>
  <c r="W22" i="2"/>
  <c r="W26" i="2"/>
  <c r="W34" i="2"/>
  <c r="W36" i="2"/>
  <c r="L40" i="2" l="1"/>
  <c r="M40" i="2"/>
  <c r="N40" i="2"/>
  <c r="G40" i="2"/>
  <c r="H40" i="2"/>
  <c r="U9" i="2" l="1"/>
  <c r="W9" i="2" s="1"/>
  <c r="K40" i="2"/>
  <c r="Q41" i="2" l="1"/>
  <c r="U10" i="2"/>
  <c r="W10" i="2" s="1"/>
  <c r="S40" i="2" l="1"/>
  <c r="S41" i="2" l="1"/>
  <c r="E42" i="2"/>
  <c r="K42" i="2" s="1"/>
  <c r="U11" i="2"/>
  <c r="W11" i="2" s="1"/>
  <c r="U12" i="2" l="1"/>
  <c r="W12" i="2" s="1"/>
  <c r="U13" i="2" l="1"/>
  <c r="W13" i="2" s="1"/>
  <c r="U14" i="2" l="1"/>
  <c r="W14" i="2" s="1"/>
  <c r="U15" i="2" l="1"/>
  <c r="W15" i="2" s="1"/>
  <c r="U16" i="2" l="1"/>
  <c r="W16" i="2" s="1"/>
  <c r="U17" i="2" l="1"/>
  <c r="W17" i="2" s="1"/>
  <c r="U18" i="2" l="1"/>
  <c r="W18" i="2" s="1"/>
  <c r="U19" i="2" l="1"/>
  <c r="W19" i="2" s="1"/>
  <c r="U20" i="2" l="1"/>
  <c r="U21" i="2" l="1"/>
  <c r="W21" i="2" s="1"/>
  <c r="U22" i="2" l="1"/>
  <c r="U23" i="2" l="1"/>
  <c r="W23" i="2" s="1"/>
  <c r="U24" i="2" l="1"/>
  <c r="W24" i="2" s="1"/>
  <c r="U25" i="2" l="1"/>
  <c r="W25" i="2" s="1"/>
  <c r="U26" i="2" l="1"/>
  <c r="U27" i="2" l="1"/>
  <c r="W27" i="2" s="1"/>
  <c r="U28" i="2" l="1"/>
  <c r="W28" i="2" s="1"/>
  <c r="U29" i="2" l="1"/>
  <c r="W29" i="2" s="1"/>
  <c r="U30" i="2" l="1"/>
  <c r="W30" i="2" s="1"/>
  <c r="U31" i="2" l="1"/>
  <c r="W31" i="2" s="1"/>
  <c r="U32" i="2" l="1"/>
  <c r="W32" i="2" s="1"/>
  <c r="U33" i="2" l="1"/>
  <c r="W33" i="2" s="1"/>
  <c r="U34" i="2" l="1"/>
  <c r="U35" i="2" l="1"/>
  <c r="W35" i="2" s="1"/>
  <c r="U36" i="2" l="1"/>
  <c r="U37" i="2" l="1"/>
  <c r="U38" i="2" l="1"/>
  <c r="U39" i="2" s="1"/>
  <c r="W39" i="2" s="1"/>
  <c r="D41" i="2" s="1"/>
  <c r="W37" i="2"/>
</calcChain>
</file>

<file path=xl/sharedStrings.xml><?xml version="1.0" encoding="utf-8"?>
<sst xmlns="http://schemas.openxmlformats.org/spreadsheetml/2006/main" count="134" uniqueCount="98">
  <si>
    <t xml:space="preserve">Доходы </t>
  </si>
  <si>
    <t>Расходы</t>
  </si>
  <si>
    <t>Ученики</t>
  </si>
  <si>
    <t>Мама</t>
  </si>
  <si>
    <t>Сумма</t>
  </si>
  <si>
    <t>Стартовый капитал</t>
  </si>
  <si>
    <t>Конечный капитал</t>
  </si>
  <si>
    <t>Всего</t>
  </si>
  <si>
    <t>бенз</t>
  </si>
  <si>
    <t>Гулянки</t>
  </si>
  <si>
    <t>Мама (PM)</t>
  </si>
  <si>
    <t>ТС по деньгам</t>
  </si>
  <si>
    <t>ТС по расчету</t>
  </si>
  <si>
    <t>Разница</t>
  </si>
  <si>
    <t>Прибыль по расчету</t>
  </si>
  <si>
    <t>Прибыль по деньгам</t>
  </si>
  <si>
    <t>Средний расход в день</t>
  </si>
  <si>
    <t>Средний доход в день</t>
  </si>
  <si>
    <t>Моб</t>
  </si>
  <si>
    <t>сейф+(сбер+QIWI)+cash</t>
  </si>
  <si>
    <t>MTI</t>
  </si>
  <si>
    <t>ср</t>
  </si>
  <si>
    <t>чт</t>
  </si>
  <si>
    <t>пт</t>
  </si>
  <si>
    <t>сб</t>
  </si>
  <si>
    <t>вс</t>
  </si>
  <si>
    <t>пн</t>
  </si>
  <si>
    <t>вт</t>
  </si>
  <si>
    <t>проездной на мерто</t>
  </si>
  <si>
    <t>проездной</t>
  </si>
  <si>
    <t>мобильный</t>
  </si>
  <si>
    <t>зарплата MTI</t>
  </si>
  <si>
    <t>такси</t>
  </si>
  <si>
    <t>сестре на салат</t>
  </si>
  <si>
    <t>на карту Тройка</t>
  </si>
  <si>
    <t>с Кристиной</t>
  </si>
  <si>
    <t>маршрутка</t>
  </si>
  <si>
    <t>планшет</t>
  </si>
  <si>
    <t>жвачка</t>
  </si>
  <si>
    <t>Наталья Владимировна</t>
  </si>
  <si>
    <t>на лечение зуба</t>
  </si>
  <si>
    <t>мак</t>
  </si>
  <si>
    <t>перекрёсток</t>
  </si>
  <si>
    <t>степендия</t>
  </si>
  <si>
    <t>парихмахерская</t>
  </si>
  <si>
    <t>Женя</t>
  </si>
  <si>
    <t>билеты на Centr</t>
  </si>
  <si>
    <t>Саше на подарок</t>
  </si>
  <si>
    <t>аванс MTI</t>
  </si>
  <si>
    <t>метро</t>
  </si>
  <si>
    <t>добавка на подарок Саше</t>
  </si>
  <si>
    <t>авито репетитор</t>
  </si>
  <si>
    <t>медсправка в ГАИ</t>
  </si>
  <si>
    <t>600|800</t>
  </si>
  <si>
    <t>цветы|с Кристиной</t>
  </si>
  <si>
    <t>100|25|600|600</t>
  </si>
  <si>
    <t>сиги|дирол|цветы|с Кристной</t>
  </si>
  <si>
    <t>102|150</t>
  </si>
  <si>
    <t>торт|сабвей</t>
  </si>
  <si>
    <t>106|119|73</t>
  </si>
  <si>
    <t>124|48|635</t>
  </si>
  <si>
    <t>шоколадки|мак|с Кристиной</t>
  </si>
  <si>
    <t>жвачка|цветы|магаз</t>
  </si>
  <si>
    <t>53|48</t>
  </si>
  <si>
    <t>муму|мак</t>
  </si>
  <si>
    <t>150|34|25|500</t>
  </si>
  <si>
    <t>магаз|сырок|жвачка|кино</t>
  </si>
  <si>
    <t>65|400|192</t>
  </si>
  <si>
    <t>пиво|тодасе|мак</t>
  </si>
  <si>
    <t>468|70</t>
  </si>
  <si>
    <t>мак|пронто</t>
  </si>
  <si>
    <t>550|27|335|41</t>
  </si>
  <si>
    <t>цветы|жвачка|мак с кристи|пикник</t>
  </si>
  <si>
    <t>магаз|саб|бабушке</t>
  </si>
  <si>
    <t>бухло</t>
  </si>
  <si>
    <t>25|620|125</t>
  </si>
  <si>
    <t>бабушке|коммисияСбербанка</t>
  </si>
  <si>
    <t>1300|70|3000</t>
  </si>
  <si>
    <t>зведочка|удаление зуба|аптека</t>
  </si>
  <si>
    <t>шины с установкой|аптека</t>
  </si>
  <si>
    <t>60|5499|599</t>
  </si>
  <si>
    <t>моб.банкинг|куртка|шапка</t>
  </si>
  <si>
    <t>50|100</t>
  </si>
  <si>
    <t>проезд|Женя</t>
  </si>
  <si>
    <t>69|3000|180</t>
  </si>
  <si>
    <t>5дней|билеты на skillet|холодец бабушке</t>
  </si>
  <si>
    <t>423|100</t>
  </si>
  <si>
    <t>салфетки и лимон</t>
  </si>
  <si>
    <t>5300|157</t>
  </si>
  <si>
    <t>54|5120|265</t>
  </si>
  <si>
    <t>краска и лак и грунтовка|незамерзайка|3билета25/17</t>
  </si>
  <si>
    <t>куртка и шапка</t>
  </si>
  <si>
    <t>Корректировка</t>
  </si>
  <si>
    <t>Дата</t>
  </si>
  <si>
    <t>д/н</t>
  </si>
  <si>
    <t>Другие доходы</t>
  </si>
  <si>
    <t>Другие расходы</t>
  </si>
  <si>
    <t>Октябрь 2014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</si>
</sst>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19]mmmm\ yyyy;@"/>
  </numFmts>
  <fonts count="1" x14ac:knownFonts="1">
    <font>
      <sz val="11"/>
      <color theme="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51">
    <xf numFmtId="0" fontId="0" fillId="0" borderId="0" xfId="0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0" fillId="0" borderId="17" xfId="0" applyFill="1" applyBorder="1"/>
    <xf numFmtId="0" fontId="0" fillId="0" borderId="19" xfId="0" applyBorder="1"/>
    <xf numFmtId="0" fontId="0" fillId="0" borderId="21" xfId="0" applyBorder="1"/>
    <xf numFmtId="0" fontId="0" fillId="0" borderId="12" xfId="0" applyBorder="1"/>
    <xf numFmtId="0" fontId="0" fillId="0" borderId="24" xfId="0" applyBorder="1"/>
    <xf numFmtId="0" fontId="0" fillId="0" borderId="26" xfId="0" applyBorder="1"/>
    <xf numFmtId="0" fontId="0" fillId="0" borderId="30" xfId="0" applyBorder="1"/>
    <xf numFmtId="0" fontId="0" fillId="0" borderId="29" xfId="0" applyBorder="1"/>
    <xf numFmtId="0" fontId="0" fillId="0" borderId="0" xfId="0" applyBorder="1" applyAlignment="1"/>
    <xf numFmtId="0" fontId="0" fillId="0" borderId="0" xfId="0" applyBorder="1" applyAlignment="1">
      <alignment horizontal="center"/>
    </xf>
    <xf numFmtId="0" fontId="0" fillId="0" borderId="18" xfId="0" applyFill="1" applyBorder="1" applyAlignment="1"/>
    <xf numFmtId="0" fontId="0" fillId="0" borderId="26" xfId="0" applyFill="1" applyBorder="1" applyAlignment="1"/>
    <xf numFmtId="0" fontId="0" fillId="0" borderId="0" xfId="0" applyBorder="1" applyAlignment="1"/>
    <xf numFmtId="0" fontId="0" fillId="4" borderId="33" xfId="0" applyFill="1" applyBorder="1"/>
    <xf numFmtId="0" fontId="0" fillId="4" borderId="31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20" xfId="0" applyFill="1" applyBorder="1"/>
    <xf numFmtId="0" fontId="0" fillId="3" borderId="23" xfId="0" applyFill="1" applyBorder="1" applyAlignment="1"/>
    <xf numFmtId="0" fontId="0" fillId="4" borderId="37" xfId="0" applyFill="1" applyBorder="1"/>
    <xf numFmtId="0" fontId="0" fillId="4" borderId="38" xfId="0" applyFill="1" applyBorder="1"/>
    <xf numFmtId="0" fontId="0" fillId="4" borderId="39" xfId="0" applyFill="1" applyBorder="1"/>
    <xf numFmtId="0" fontId="0" fillId="3" borderId="3" xfId="0" applyFill="1" applyBorder="1" applyAlignment="1"/>
    <xf numFmtId="0" fontId="0" fillId="0" borderId="31" xfId="0" applyBorder="1"/>
    <xf numFmtId="0" fontId="0" fillId="4" borderId="44" xfId="0" applyFill="1" applyBorder="1"/>
    <xf numFmtId="0" fontId="0" fillId="4" borderId="2" xfId="0" applyFill="1" applyBorder="1"/>
    <xf numFmtId="0" fontId="0" fillId="4" borderId="12" xfId="0" applyFill="1" applyBorder="1"/>
    <xf numFmtId="0" fontId="0" fillId="0" borderId="39" xfId="0" applyBorder="1"/>
    <xf numFmtId="0" fontId="0" fillId="0" borderId="45" xfId="0" applyBorder="1"/>
    <xf numFmtId="0" fontId="0" fillId="0" borderId="20" xfId="0" applyBorder="1"/>
    <xf numFmtId="0" fontId="0" fillId="0" borderId="38" xfId="0" applyBorder="1"/>
    <xf numFmtId="0" fontId="0" fillId="4" borderId="4" xfId="0" applyFill="1" applyBorder="1"/>
    <xf numFmtId="0" fontId="0" fillId="4" borderId="32" xfId="0" applyFill="1" applyBorder="1"/>
    <xf numFmtId="0" fontId="0" fillId="6" borderId="33" xfId="0" applyFill="1" applyBorder="1"/>
    <xf numFmtId="0" fontId="0" fillId="6" borderId="4" xfId="0" applyFill="1" applyBorder="1"/>
    <xf numFmtId="0" fontId="0" fillId="6" borderId="2" xfId="0" applyFill="1" applyBorder="1"/>
    <xf numFmtId="0" fontId="0" fillId="6" borderId="31" xfId="0" applyFill="1" applyBorder="1"/>
    <xf numFmtId="0" fontId="0" fillId="6" borderId="20" xfId="0" applyFill="1" applyBorder="1"/>
    <xf numFmtId="0" fontId="0" fillId="6" borderId="44" xfId="0" applyFill="1" applyBorder="1"/>
    <xf numFmtId="0" fontId="0" fillId="7" borderId="20" xfId="0" applyFill="1" applyBorder="1"/>
    <xf numFmtId="0" fontId="0" fillId="7" borderId="31" xfId="0" applyFill="1" applyBorder="1"/>
    <xf numFmtId="0" fontId="0" fillId="7" borderId="44" xfId="0" applyFill="1" applyBorder="1"/>
    <xf numFmtId="0" fontId="0" fillId="2" borderId="42" xfId="0" applyFill="1" applyBorder="1"/>
    <xf numFmtId="0" fontId="0" fillId="2" borderId="43" xfId="0" applyFill="1" applyBorder="1"/>
    <xf numFmtId="0" fontId="0" fillId="2" borderId="41" xfId="0" applyFill="1" applyBorder="1"/>
    <xf numFmtId="0" fontId="0" fillId="2" borderId="34" xfId="0" applyFill="1" applyBorder="1"/>
    <xf numFmtId="0" fontId="0" fillId="5" borderId="40" xfId="0" applyFill="1" applyBorder="1"/>
    <xf numFmtId="0" fontId="0" fillId="3" borderId="13" xfId="0" applyFill="1" applyBorder="1" applyAlignment="1"/>
    <xf numFmtId="0" fontId="0" fillId="3" borderId="51" xfId="0" applyFill="1" applyBorder="1" applyAlignment="1"/>
    <xf numFmtId="0" fontId="0" fillId="3" borderId="26" xfId="0" applyFill="1" applyBorder="1" applyAlignment="1"/>
    <xf numFmtId="0" fontId="0" fillId="3" borderId="0" xfId="0" applyFill="1" applyBorder="1" applyAlignment="1">
      <alignment horizontal="left"/>
    </xf>
    <xf numFmtId="0" fontId="0" fillId="3" borderId="52" xfId="0" applyFill="1" applyBorder="1" applyAlignment="1"/>
    <xf numFmtId="0" fontId="0" fillId="4" borderId="53" xfId="0" applyFill="1" applyBorder="1"/>
    <xf numFmtId="0" fontId="0" fillId="4" borderId="45" xfId="0" applyFill="1" applyBorder="1"/>
    <xf numFmtId="0" fontId="0" fillId="6" borderId="54" xfId="0" applyFill="1" applyBorder="1"/>
    <xf numFmtId="0" fontId="0" fillId="4" borderId="55" xfId="0" applyFill="1" applyBorder="1"/>
    <xf numFmtId="0" fontId="0" fillId="6" borderId="55" xfId="0" applyFill="1" applyBorder="1"/>
    <xf numFmtId="0" fontId="0" fillId="4" borderId="54" xfId="0" applyFill="1" applyBorder="1"/>
    <xf numFmtId="0" fontId="0" fillId="7" borderId="55" xfId="0" applyFill="1" applyBorder="1"/>
    <xf numFmtId="0" fontId="0" fillId="4" borderId="16" xfId="0" applyFill="1" applyBorder="1"/>
    <xf numFmtId="0" fontId="0" fillId="6" borderId="15" xfId="0" applyFill="1" applyBorder="1"/>
    <xf numFmtId="0" fontId="0" fillId="4" borderId="35" xfId="0" applyFill="1" applyBorder="1"/>
    <xf numFmtId="0" fontId="0" fillId="6" borderId="35" xfId="0" applyFill="1" applyBorder="1"/>
    <xf numFmtId="0" fontId="0" fillId="4" borderId="13" xfId="0" applyFill="1" applyBorder="1"/>
    <xf numFmtId="0" fontId="0" fillId="4" borderId="56" xfId="0" applyFill="1" applyBorder="1"/>
    <xf numFmtId="0" fontId="0" fillId="7" borderId="35" xfId="0" applyFill="1" applyBorder="1"/>
    <xf numFmtId="0" fontId="0" fillId="4" borderId="57" xfId="0" applyFill="1" applyBorder="1"/>
    <xf numFmtId="0" fontId="0" fillId="4" borderId="21" xfId="0" applyFill="1" applyBorder="1"/>
    <xf numFmtId="0" fontId="0" fillId="4" borderId="49" xfId="0" applyFill="1" applyBorder="1"/>
    <xf numFmtId="0" fontId="0" fillId="4" borderId="58" xfId="0" applyFill="1" applyBorder="1"/>
    <xf numFmtId="0" fontId="0" fillId="4" borderId="47" xfId="0" applyFill="1" applyBorder="1"/>
    <xf numFmtId="0" fontId="0" fillId="4" borderId="59" xfId="0" applyFill="1" applyBorder="1"/>
    <xf numFmtId="0" fontId="0" fillId="6" borderId="54" xfId="0" applyFill="1" applyBorder="1" applyAlignment="1"/>
    <xf numFmtId="0" fontId="0" fillId="3" borderId="14" xfId="0" applyFill="1" applyBorder="1" applyAlignment="1">
      <alignment horizontal="right"/>
    </xf>
    <xf numFmtId="0" fontId="0" fillId="0" borderId="0" xfId="0" applyAlignment="1">
      <alignment horizontal="right"/>
    </xf>
    <xf numFmtId="0" fontId="0" fillId="0" borderId="6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6" borderId="15" xfId="0" applyFill="1" applyBorder="1" applyAlignment="1">
      <alignment horizontal="right"/>
    </xf>
    <xf numFmtId="0" fontId="0" fillId="6" borderId="45" xfId="0" applyFill="1" applyBorder="1" applyAlignment="1">
      <alignment horizontal="right"/>
    </xf>
    <xf numFmtId="0" fontId="0" fillId="6" borderId="4" xfId="0" applyFill="1" applyBorder="1" applyAlignment="1">
      <alignment horizontal="right"/>
    </xf>
    <xf numFmtId="0" fontId="0" fillId="6" borderId="33" xfId="0" applyFill="1" applyBorder="1" applyAlignment="1">
      <alignment horizontal="right"/>
    </xf>
    <xf numFmtId="0" fontId="0" fillId="6" borderId="54" xfId="0" applyFill="1" applyBorder="1" applyAlignment="1">
      <alignment horizontal="right"/>
    </xf>
    <xf numFmtId="0" fontId="0" fillId="6" borderId="2" xfId="0" applyFill="1" applyBorder="1" applyAlignment="1">
      <alignment horizontal="right"/>
    </xf>
    <xf numFmtId="0" fontId="0" fillId="3" borderId="22" xfId="0" applyFill="1" applyBorder="1" applyAlignment="1">
      <alignment horizontal="right"/>
    </xf>
    <xf numFmtId="0" fontId="0" fillId="0" borderId="11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6" borderId="35" xfId="0" applyFill="1" applyBorder="1" applyAlignment="1">
      <alignment horizontal="right"/>
    </xf>
    <xf numFmtId="0" fontId="0" fillId="6" borderId="20" xfId="0" applyFill="1" applyBorder="1" applyAlignment="1">
      <alignment horizontal="right"/>
    </xf>
    <xf numFmtId="0" fontId="0" fillId="6" borderId="31" xfId="0" applyFill="1" applyBorder="1" applyAlignment="1">
      <alignment horizontal="right"/>
    </xf>
    <xf numFmtId="0" fontId="0" fillId="6" borderId="55" xfId="0" applyFill="1" applyBorder="1" applyAlignment="1">
      <alignment horizontal="right"/>
    </xf>
    <xf numFmtId="0" fontId="0" fillId="6" borderId="44" xfId="0" applyFill="1" applyBorder="1" applyAlignment="1">
      <alignment horizontal="right"/>
    </xf>
    <xf numFmtId="0" fontId="0" fillId="3" borderId="3" xfId="0" applyFill="1" applyBorder="1" applyAlignment="1">
      <alignment horizontal="right"/>
    </xf>
    <xf numFmtId="0" fontId="0" fillId="3" borderId="23" xfId="0" applyFill="1" applyBorder="1" applyAlignment="1">
      <alignment horizontal="right"/>
    </xf>
    <xf numFmtId="0" fontId="0" fillId="7" borderId="35" xfId="0" applyFill="1" applyBorder="1" applyAlignment="1">
      <alignment horizontal="right"/>
    </xf>
    <xf numFmtId="0" fontId="0" fillId="7" borderId="20" xfId="0" applyFill="1" applyBorder="1" applyAlignment="1">
      <alignment horizontal="right"/>
    </xf>
    <xf numFmtId="0" fontId="0" fillId="7" borderId="31" xfId="0" applyFill="1" applyBorder="1" applyAlignment="1">
      <alignment horizontal="right"/>
    </xf>
    <xf numFmtId="0" fontId="0" fillId="7" borderId="55" xfId="0" applyFill="1" applyBorder="1" applyAlignment="1">
      <alignment horizontal="right"/>
    </xf>
    <xf numFmtId="0" fontId="0" fillId="7" borderId="44" xfId="0" applyFill="1" applyBorder="1" applyAlignment="1">
      <alignment horizontal="right"/>
    </xf>
    <xf numFmtId="0" fontId="0" fillId="3" borderId="25" xfId="0" applyFill="1" applyBorder="1" applyAlignment="1"/>
    <xf numFmtId="0" fontId="0" fillId="3" borderId="47" xfId="0" applyFill="1" applyBorder="1" applyAlignment="1">
      <alignment horizontal="right"/>
    </xf>
    <xf numFmtId="164" fontId="0" fillId="0" borderId="5" xfId="0" applyNumberFormat="1" applyBorder="1" applyAlignment="1">
      <alignment vertical="center"/>
    </xf>
    <xf numFmtId="164" fontId="0" fillId="0" borderId="12" xfId="0" applyNumberFormat="1" applyBorder="1" applyAlignment="1">
      <alignment horizontal="center" vertical="center"/>
    </xf>
    <xf numFmtId="164" fontId="0" fillId="0" borderId="16" xfId="0" applyNumberFormat="1" applyBorder="1" applyAlignment="1">
      <alignment vertical="center"/>
    </xf>
    <xf numFmtId="164" fontId="0" fillId="0" borderId="36" xfId="0" applyNumberFormat="1" applyBorder="1" applyAlignment="1">
      <alignment horizontal="center" vertical="center"/>
    </xf>
    <xf numFmtId="14" fontId="0" fillId="4" borderId="60" xfId="0" applyNumberFormat="1" applyFill="1" applyBorder="1"/>
    <xf numFmtId="14" fontId="0" fillId="4" borderId="59" xfId="0" applyNumberFormat="1" applyFill="1" applyBorder="1"/>
    <xf numFmtId="0" fontId="0" fillId="3" borderId="13" xfId="0" applyFill="1" applyBorder="1" applyAlignment="1">
      <alignment horizontal="right"/>
    </xf>
    <xf numFmtId="0" fontId="0" fillId="0" borderId="28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3" borderId="15" xfId="0" applyFill="1" applyBorder="1" applyAlignment="1">
      <alignment horizontal="left"/>
    </xf>
    <xf numFmtId="0" fontId="0" fillId="3" borderId="35" xfId="0" applyFill="1" applyBorder="1" applyAlignment="1">
      <alignment horizontal="left"/>
    </xf>
    <xf numFmtId="0" fontId="0" fillId="3" borderId="13" xfId="0" applyFill="1" applyBorder="1" applyAlignment="1">
      <alignment horizontal="left"/>
    </xf>
    <xf numFmtId="0" fontId="0" fillId="3" borderId="36" xfId="0" applyFill="1" applyBorder="1" applyAlignment="1">
      <alignment horizontal="left"/>
    </xf>
    <xf numFmtId="0" fontId="0" fillId="3" borderId="26" xfId="0" applyFill="1" applyBorder="1" applyAlignment="1">
      <alignment horizontal="left"/>
    </xf>
    <xf numFmtId="0" fontId="0" fillId="0" borderId="25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10" xfId="0" applyBorder="1" applyAlignment="1">
      <alignment horizontal="center" vertical="center" textRotation="90"/>
    </xf>
    <xf numFmtId="0" fontId="0" fillId="0" borderId="46" xfId="0" applyBorder="1" applyAlignment="1">
      <alignment horizontal="center" vertical="center" textRotation="90"/>
    </xf>
    <xf numFmtId="0" fontId="0" fillId="0" borderId="1" xfId="0" applyBorder="1" applyAlignment="1">
      <alignment horizontal="center" vertical="center" textRotation="90"/>
    </xf>
    <xf numFmtId="0" fontId="0" fillId="0" borderId="47" xfId="0" applyBorder="1" applyAlignment="1">
      <alignment horizontal="center" vertical="center" textRotation="90"/>
    </xf>
    <xf numFmtId="0" fontId="0" fillId="0" borderId="48" xfId="0" applyFill="1" applyBorder="1" applyAlignment="1">
      <alignment horizontal="center" vertical="center" textRotation="90"/>
    </xf>
    <xf numFmtId="0" fontId="0" fillId="0" borderId="37" xfId="0" applyFill="1" applyBorder="1" applyAlignment="1">
      <alignment horizontal="center" vertical="center" textRotation="90"/>
    </xf>
    <xf numFmtId="0" fontId="0" fillId="0" borderId="49" xfId="0" applyFill="1" applyBorder="1" applyAlignment="1">
      <alignment horizontal="center" vertical="center" textRotation="90"/>
    </xf>
    <xf numFmtId="0" fontId="0" fillId="0" borderId="22" xfId="0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7" borderId="42" xfId="0" applyFill="1" applyBorder="1" applyAlignment="1"/>
    <xf numFmtId="0" fontId="0" fillId="7" borderId="50" xfId="0" applyFill="1" applyBorder="1" applyAlignment="1"/>
    <xf numFmtId="0" fontId="0" fillId="6" borderId="42" xfId="0" applyFill="1" applyBorder="1" applyAlignment="1">
      <alignment horizontal="right"/>
    </xf>
    <xf numFmtId="0" fontId="0" fillId="6" borderId="50" xfId="0" applyFill="1" applyBorder="1" applyAlignment="1">
      <alignment horizontal="right"/>
    </xf>
    <xf numFmtId="0" fontId="0" fillId="6" borderId="5" xfId="0" applyFill="1" applyBorder="1" applyAlignment="1">
      <alignment horizontal="right"/>
    </xf>
    <xf numFmtId="14" fontId="0" fillId="3" borderId="10" xfId="0" applyNumberFormat="1" applyFill="1" applyBorder="1" applyAlignment="1">
      <alignment horizontal="left"/>
    </xf>
    <xf numFmtId="14" fontId="0" fillId="3" borderId="12" xfId="0" applyNumberFormat="1" applyFill="1" applyBorder="1" applyAlignment="1">
      <alignment horizontal="left"/>
    </xf>
    <xf numFmtId="49" fontId="0" fillId="0" borderId="25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CB4B6"/>
      <color rgb="FFFAD0B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B2:X46"/>
  <sheetViews>
    <sheetView tabSelected="1" topLeftCell="C22" zoomScale="70" zoomScaleNormal="70" workbookViewId="0">
      <selection activeCell="G41" sqref="G41"/>
    </sheetView>
  </sheetViews>
  <sheetFormatPr defaultRowHeight="15" x14ac:dyDescent="0.25"/>
  <cols>
    <col min="1" max="1" width="2.5703125" customWidth="1"/>
    <col min="2" max="2" width="5" customWidth="1"/>
    <col min="3" max="3" width="14.140625" customWidth="1"/>
    <col min="4" max="4" width="5.5703125" customWidth="1"/>
    <col min="5" max="5" width="7.42578125" style="82" customWidth="1"/>
    <col min="6" max="6" width="22.28515625" customWidth="1"/>
    <col min="7" max="7" width="11" customWidth="1"/>
    <col min="8" max="8" width="8.28515625" customWidth="1"/>
    <col min="9" max="9" width="8.5703125" style="82" customWidth="1"/>
    <col min="10" max="10" width="23.140625" customWidth="1"/>
    <col min="11" max="11" width="8.140625" customWidth="1"/>
    <col min="12" max="12" width="5.85546875" customWidth="1"/>
    <col min="13" max="13" width="6.28515625" customWidth="1"/>
    <col min="14" max="14" width="5.5703125" customWidth="1"/>
    <col min="15" max="15" width="16.42578125" style="82" customWidth="1"/>
    <col min="16" max="16" width="33.5703125" customWidth="1"/>
    <col min="17" max="17" width="14.28515625" style="82" customWidth="1"/>
    <col min="18" max="18" width="51.7109375" customWidth="1"/>
    <col min="19" max="19" width="7.42578125" customWidth="1"/>
    <col min="20" max="20" width="3.140625" customWidth="1"/>
    <col min="21" max="21" width="7.7109375" customWidth="1"/>
    <col min="22" max="22" width="9.85546875" customWidth="1"/>
    <col min="23" max="23" width="7.85546875" customWidth="1"/>
    <col min="24" max="24" width="2.85546875" customWidth="1"/>
  </cols>
  <sheetData>
    <row r="2" spans="2:24" ht="15.75" thickBot="1" x14ac:dyDescent="0.3"/>
    <row r="3" spans="2:24" ht="15.75" thickBot="1" x14ac:dyDescent="0.3">
      <c r="B3" s="2"/>
      <c r="C3" s="3"/>
      <c r="D3" s="3"/>
      <c r="E3" s="83"/>
      <c r="F3" s="3"/>
      <c r="G3" s="3"/>
      <c r="H3" s="3"/>
      <c r="I3" s="83"/>
      <c r="J3" s="3"/>
      <c r="K3" s="3"/>
      <c r="L3" s="3"/>
      <c r="M3" s="3"/>
      <c r="N3" s="3"/>
      <c r="O3" s="83"/>
      <c r="P3" s="3"/>
      <c r="Q3" s="83"/>
      <c r="R3" s="3"/>
      <c r="S3" s="3"/>
      <c r="T3" s="3"/>
      <c r="U3" s="3"/>
      <c r="V3" s="3"/>
      <c r="W3" s="3"/>
      <c r="X3" s="10"/>
    </row>
    <row r="4" spans="2:24" x14ac:dyDescent="0.25">
      <c r="B4" s="4"/>
      <c r="C4" s="149" t="s">
        <v>97</v>
      </c>
      <c r="D4" s="150"/>
      <c r="E4" s="127" t="s">
        <v>19</v>
      </c>
      <c r="F4" s="128"/>
      <c r="G4" s="128"/>
      <c r="H4" s="128"/>
      <c r="I4" s="93"/>
      <c r="J4" s="17"/>
      <c r="K4" s="17"/>
      <c r="L4" s="1"/>
      <c r="M4" s="17"/>
      <c r="N4" s="20"/>
      <c r="O4" s="84"/>
      <c r="P4" s="130"/>
      <c r="Q4" s="130"/>
      <c r="R4" s="130"/>
      <c r="S4" s="130"/>
      <c r="T4" s="1"/>
      <c r="U4" s="131" t="s">
        <v>12</v>
      </c>
      <c r="V4" s="134" t="s">
        <v>11</v>
      </c>
      <c r="W4" s="137" t="s">
        <v>13</v>
      </c>
      <c r="X4" s="5"/>
    </row>
    <row r="5" spans="2:24" ht="15.75" thickBot="1" x14ac:dyDescent="0.3">
      <c r="B5" s="4"/>
      <c r="C5" s="115" t="s">
        <v>5</v>
      </c>
      <c r="D5" s="116"/>
      <c r="E5" s="117">
        <f>11000+(1701+621)+505</f>
        <v>13827</v>
      </c>
      <c r="F5" s="118"/>
      <c r="G5" s="118"/>
      <c r="H5" s="118"/>
      <c r="I5" s="93"/>
      <c r="J5" s="1"/>
      <c r="K5" s="1"/>
      <c r="L5" s="1"/>
      <c r="M5" s="16"/>
      <c r="N5" s="20"/>
      <c r="O5" s="84"/>
      <c r="P5" s="130"/>
      <c r="Q5" s="130"/>
      <c r="R5" s="130"/>
      <c r="S5" s="130"/>
      <c r="T5" s="1"/>
      <c r="U5" s="132"/>
      <c r="V5" s="135"/>
      <c r="W5" s="138"/>
      <c r="X5" s="5"/>
    </row>
    <row r="6" spans="2:24" ht="15.75" thickBot="1" x14ac:dyDescent="0.3">
      <c r="B6" s="4"/>
      <c r="C6" s="1"/>
      <c r="D6" s="1"/>
      <c r="E6" s="84"/>
      <c r="F6" s="1"/>
      <c r="G6" s="1"/>
      <c r="H6" s="1"/>
      <c r="I6" s="84"/>
      <c r="J6" s="1"/>
      <c r="K6" s="1"/>
      <c r="L6" s="7"/>
      <c r="M6" s="1"/>
      <c r="N6" s="1"/>
      <c r="O6" s="84"/>
      <c r="P6" s="1"/>
      <c r="Q6" s="84"/>
      <c r="R6" s="1"/>
      <c r="S6" s="7"/>
      <c r="T6" s="1"/>
      <c r="U6" s="132"/>
      <c r="V6" s="135"/>
      <c r="W6" s="138"/>
      <c r="X6" s="5"/>
    </row>
    <row r="7" spans="2:24" x14ac:dyDescent="0.25">
      <c r="B7" s="4"/>
      <c r="C7" s="108"/>
      <c r="D7" s="110"/>
      <c r="E7" s="128" t="s">
        <v>0</v>
      </c>
      <c r="F7" s="128"/>
      <c r="G7" s="128"/>
      <c r="H7" s="128"/>
      <c r="I7" s="128"/>
      <c r="J7" s="128"/>
      <c r="K7" s="129"/>
      <c r="L7" s="125" t="s">
        <v>1</v>
      </c>
      <c r="M7" s="128"/>
      <c r="N7" s="128"/>
      <c r="O7" s="128"/>
      <c r="P7" s="128"/>
      <c r="Q7" s="128"/>
      <c r="R7" s="128"/>
      <c r="S7" s="128"/>
      <c r="T7" s="4"/>
      <c r="U7" s="132"/>
      <c r="V7" s="135"/>
      <c r="W7" s="138"/>
      <c r="X7" s="5"/>
    </row>
    <row r="8" spans="2:24" ht="15.75" thickBot="1" x14ac:dyDescent="0.3">
      <c r="B8" s="4"/>
      <c r="C8" s="111" t="s">
        <v>93</v>
      </c>
      <c r="D8" s="109" t="s">
        <v>94</v>
      </c>
      <c r="E8" s="115" t="s">
        <v>3</v>
      </c>
      <c r="F8" s="116"/>
      <c r="G8" s="9" t="s">
        <v>10</v>
      </c>
      <c r="H8" s="9" t="s">
        <v>2</v>
      </c>
      <c r="I8" s="117" t="s">
        <v>95</v>
      </c>
      <c r="J8" s="116"/>
      <c r="K8" s="8" t="s">
        <v>7</v>
      </c>
      <c r="L8" s="15" t="s">
        <v>20</v>
      </c>
      <c r="M8" s="19" t="s">
        <v>8</v>
      </c>
      <c r="N8" s="18" t="s">
        <v>18</v>
      </c>
      <c r="O8" s="140" t="s">
        <v>9</v>
      </c>
      <c r="P8" s="141"/>
      <c r="Q8" s="140" t="s">
        <v>96</v>
      </c>
      <c r="R8" s="141"/>
      <c r="S8" s="12" t="s">
        <v>7</v>
      </c>
      <c r="T8" s="4"/>
      <c r="U8" s="133"/>
      <c r="V8" s="136"/>
      <c r="W8" s="139"/>
      <c r="X8" s="14"/>
    </row>
    <row r="9" spans="2:24" x14ac:dyDescent="0.25">
      <c r="B9" s="4"/>
      <c r="C9" s="112">
        <v>41913</v>
      </c>
      <c r="D9" s="75" t="s">
        <v>21</v>
      </c>
      <c r="E9" s="85"/>
      <c r="F9" s="68"/>
      <c r="G9" s="69"/>
      <c r="H9" s="69">
        <v>1200</v>
      </c>
      <c r="I9" s="94">
        <v>100</v>
      </c>
      <c r="J9" s="70" t="s">
        <v>32</v>
      </c>
      <c r="K9" s="71">
        <f>COUNTPARTS(E9)+COUNTPARTS(G9:I9)</f>
        <v>1300</v>
      </c>
      <c r="L9" s="72"/>
      <c r="M9" s="69"/>
      <c r="N9" s="69"/>
      <c r="O9" s="94"/>
      <c r="P9" s="70"/>
      <c r="Q9" s="101">
        <v>100</v>
      </c>
      <c r="R9" s="73" t="s">
        <v>33</v>
      </c>
      <c r="S9" s="67">
        <f>COUNTPARTS(L9:O9)+COUNTPARTS(Q9)</f>
        <v>100</v>
      </c>
      <c r="T9" s="4"/>
      <c r="U9" s="36">
        <f>E5+K9-S9</f>
        <v>15027</v>
      </c>
      <c r="V9" s="37"/>
      <c r="W9" s="38" t="str">
        <f>IF(V9="","",V9-U9)</f>
        <v/>
      </c>
      <c r="X9" s="5"/>
    </row>
    <row r="10" spans="2:24" x14ac:dyDescent="0.25">
      <c r="B10" s="4"/>
      <c r="C10" s="112">
        <v>41914</v>
      </c>
      <c r="D10" s="23" t="s">
        <v>22</v>
      </c>
      <c r="E10" s="86">
        <v>100</v>
      </c>
      <c r="F10" s="42" t="s">
        <v>30</v>
      </c>
      <c r="G10" s="25"/>
      <c r="H10" s="25"/>
      <c r="I10" s="95"/>
      <c r="J10" s="45"/>
      <c r="K10" s="28">
        <f>COUNTPARTS(E10)+COUNTPARTS(G10:I10)</f>
        <v>100</v>
      </c>
      <c r="L10" s="61"/>
      <c r="M10" s="25"/>
      <c r="N10" s="25">
        <v>100</v>
      </c>
      <c r="O10" s="95">
        <v>535</v>
      </c>
      <c r="P10" s="45" t="s">
        <v>35</v>
      </c>
      <c r="Q10" s="102">
        <v>100</v>
      </c>
      <c r="R10" s="47" t="s">
        <v>34</v>
      </c>
      <c r="S10" s="24">
        <f>COUNTPARTS(L10:O10)+COUNTPARTS(Q10)</f>
        <v>735</v>
      </c>
      <c r="T10" s="4"/>
      <c r="U10" s="35">
        <f t="shared" ref="U10:U39" si="0">U9+K10-S10</f>
        <v>14392</v>
      </c>
      <c r="V10" s="31"/>
      <c r="W10" s="38" t="str">
        <f t="shared" ref="W10:W40" si="1">IF(V10="","",V10-U10)</f>
        <v/>
      </c>
      <c r="X10" s="5"/>
    </row>
    <row r="11" spans="2:24" x14ac:dyDescent="0.25">
      <c r="B11" s="4"/>
      <c r="C11" s="112">
        <v>41915</v>
      </c>
      <c r="D11" s="23" t="s">
        <v>23</v>
      </c>
      <c r="E11" s="87">
        <v>600</v>
      </c>
      <c r="F11" s="42" t="s">
        <v>29</v>
      </c>
      <c r="G11" s="25">
        <v>400</v>
      </c>
      <c r="H11" s="25"/>
      <c r="I11" s="95">
        <v>12321</v>
      </c>
      <c r="J11" s="45" t="s">
        <v>31</v>
      </c>
      <c r="K11" s="27">
        <f>COUNTPARTS(E11)+COUNTPARTS(G11:I11)</f>
        <v>13321</v>
      </c>
      <c r="L11" s="39">
        <f>251+39</f>
        <v>290</v>
      </c>
      <c r="M11" s="25"/>
      <c r="N11" s="25"/>
      <c r="O11" s="95"/>
      <c r="P11" s="45"/>
      <c r="Q11" s="102">
        <v>350</v>
      </c>
      <c r="R11" s="47" t="s">
        <v>28</v>
      </c>
      <c r="S11" s="28">
        <f>COUNTPARTS(L11:O11)+COUNTPARTS(Q11)</f>
        <v>640</v>
      </c>
      <c r="T11" s="4"/>
      <c r="U11" s="35">
        <f t="shared" si="0"/>
        <v>27073</v>
      </c>
      <c r="V11" s="31">
        <f>11000+(14022+621)+1430</f>
        <v>27073</v>
      </c>
      <c r="W11" s="38">
        <f>IF(V11="","",V11-U11)</f>
        <v>0</v>
      </c>
      <c r="X11" s="5"/>
    </row>
    <row r="12" spans="2:24" x14ac:dyDescent="0.25">
      <c r="B12" s="4"/>
      <c r="C12" s="112">
        <v>41916</v>
      </c>
      <c r="D12" s="23" t="s">
        <v>24</v>
      </c>
      <c r="E12" s="88"/>
      <c r="F12" s="41"/>
      <c r="G12" s="22"/>
      <c r="H12" s="22"/>
      <c r="I12" s="96"/>
      <c r="J12" s="44"/>
      <c r="K12" s="40">
        <f>COUNTPARTS(E12)+COUNTPARTS(G12:I12)</f>
        <v>0</v>
      </c>
      <c r="L12" s="21"/>
      <c r="M12" s="22">
        <v>400</v>
      </c>
      <c r="N12" s="22"/>
      <c r="O12" s="96" t="s">
        <v>53</v>
      </c>
      <c r="P12" s="44" t="s">
        <v>54</v>
      </c>
      <c r="Q12" s="103" t="s">
        <v>86</v>
      </c>
      <c r="R12" s="48" t="s">
        <v>76</v>
      </c>
      <c r="S12" s="24">
        <f>COUNTPARTS(L12:O12)+COUNTPARTS(Q12)</f>
        <v>2323</v>
      </c>
      <c r="T12" s="4"/>
      <c r="U12" s="35">
        <f t="shared" si="0"/>
        <v>24750</v>
      </c>
      <c r="V12" s="31">
        <f>11000+(12422+621)+707</f>
        <v>24750</v>
      </c>
      <c r="W12" s="38">
        <f t="shared" si="1"/>
        <v>0</v>
      </c>
      <c r="X12" s="5"/>
    </row>
    <row r="13" spans="2:24" ht="15.75" thickBot="1" x14ac:dyDescent="0.3">
      <c r="B13" s="4"/>
      <c r="C13" s="113">
        <v>41917</v>
      </c>
      <c r="D13" s="34" t="s">
        <v>25</v>
      </c>
      <c r="E13" s="89"/>
      <c r="F13" s="62"/>
      <c r="G13" s="63"/>
      <c r="H13" s="63"/>
      <c r="I13" s="97"/>
      <c r="J13" s="64"/>
      <c r="K13" s="76">
        <f>COUNTPARTS(E13)+COUNTPARTS(G13:I13)</f>
        <v>0</v>
      </c>
      <c r="L13" s="65"/>
      <c r="M13" s="63"/>
      <c r="N13" s="63"/>
      <c r="O13" s="97">
        <v>34</v>
      </c>
      <c r="P13" s="64" t="s">
        <v>38</v>
      </c>
      <c r="Q13" s="104"/>
      <c r="R13" s="66"/>
      <c r="S13" s="76">
        <f>COUNTPARTS(L13:O13)+COUNTPARTS(Q13)</f>
        <v>34</v>
      </c>
      <c r="T13" s="4"/>
      <c r="U13" s="35">
        <f t="shared" si="0"/>
        <v>24716</v>
      </c>
      <c r="V13" s="31"/>
      <c r="W13" s="38" t="str">
        <f>IF(V13="","",V13-U13)</f>
        <v/>
      </c>
      <c r="X13" s="5"/>
    </row>
    <row r="14" spans="2:24" x14ac:dyDescent="0.25">
      <c r="B14" s="4"/>
      <c r="C14" s="112">
        <v>41918</v>
      </c>
      <c r="D14" s="23" t="s">
        <v>26</v>
      </c>
      <c r="E14" s="87"/>
      <c r="F14" s="42"/>
      <c r="G14" s="25"/>
      <c r="H14" s="25"/>
      <c r="I14" s="95"/>
      <c r="J14" s="45"/>
      <c r="K14" s="28">
        <f>COUNTPARTS(E14)+COUNTPARTS(G14:I14)</f>
        <v>0</v>
      </c>
      <c r="L14" s="39">
        <f>140+20+100</f>
        <v>260</v>
      </c>
      <c r="M14" s="25"/>
      <c r="N14" s="25"/>
      <c r="O14" s="95"/>
      <c r="P14" s="45"/>
      <c r="Q14" s="102">
        <v>10</v>
      </c>
      <c r="R14" s="47" t="s">
        <v>37</v>
      </c>
      <c r="S14" s="24">
        <f>COUNTPARTS(L14:O14)+COUNTPARTS(Q14)</f>
        <v>270</v>
      </c>
      <c r="T14" s="4"/>
      <c r="U14" s="35">
        <f t="shared" si="0"/>
        <v>24446</v>
      </c>
      <c r="V14" s="31"/>
      <c r="W14" s="38" t="str">
        <f t="shared" si="1"/>
        <v/>
      </c>
      <c r="X14" s="5"/>
    </row>
    <row r="15" spans="2:24" x14ac:dyDescent="0.25">
      <c r="B15" s="4"/>
      <c r="C15" s="112">
        <v>41919</v>
      </c>
      <c r="D15" s="23" t="s">
        <v>27</v>
      </c>
      <c r="E15" s="87"/>
      <c r="F15" s="42"/>
      <c r="G15" s="25"/>
      <c r="H15" s="25"/>
      <c r="I15" s="95"/>
      <c r="J15" s="45"/>
      <c r="K15" s="27">
        <f>COUNTPARTS(E15)+COUNTPARTS(G15:I15)</f>
        <v>0</v>
      </c>
      <c r="L15" s="39">
        <f>145+25+45</f>
        <v>215</v>
      </c>
      <c r="M15" s="25"/>
      <c r="N15" s="25">
        <v>100</v>
      </c>
      <c r="O15" s="95" t="s">
        <v>55</v>
      </c>
      <c r="P15" s="45" t="s">
        <v>56</v>
      </c>
      <c r="Q15" s="102">
        <v>25</v>
      </c>
      <c r="R15" s="47" t="s">
        <v>36</v>
      </c>
      <c r="S15" s="24">
        <f>COUNTPARTS(L15:O15)+COUNTPARTS(Q15)</f>
        <v>1665</v>
      </c>
      <c r="T15" s="4"/>
      <c r="U15" s="35">
        <f t="shared" si="0"/>
        <v>22781</v>
      </c>
      <c r="V15" s="31">
        <f>10000+(11278+621)+882</f>
        <v>22781</v>
      </c>
      <c r="W15" s="38">
        <f t="shared" si="1"/>
        <v>0</v>
      </c>
      <c r="X15" s="5"/>
    </row>
    <row r="16" spans="2:24" x14ac:dyDescent="0.25">
      <c r="B16" s="4"/>
      <c r="C16" s="112">
        <v>41920</v>
      </c>
      <c r="D16" s="23" t="s">
        <v>21</v>
      </c>
      <c r="E16" s="88"/>
      <c r="F16" s="41"/>
      <c r="G16" s="22"/>
      <c r="H16" s="22"/>
      <c r="I16" s="96">
        <v>10000</v>
      </c>
      <c r="J16" s="44" t="s">
        <v>39</v>
      </c>
      <c r="K16" s="40">
        <f>COUNTPARTS(E16)+COUNTPARTS(G16:I16)</f>
        <v>10000</v>
      </c>
      <c r="L16" s="21"/>
      <c r="M16" s="22"/>
      <c r="N16" s="22"/>
      <c r="O16" s="96" t="s">
        <v>57</v>
      </c>
      <c r="P16" s="44" t="s">
        <v>58</v>
      </c>
      <c r="Q16" s="103" t="s">
        <v>77</v>
      </c>
      <c r="R16" s="48" t="s">
        <v>90</v>
      </c>
      <c r="S16" s="24">
        <f>COUNTPARTS(L16:O16)+COUNTPARTS(Q16)</f>
        <v>4622</v>
      </c>
      <c r="T16" s="4"/>
      <c r="U16" s="35">
        <f t="shared" si="0"/>
        <v>28159</v>
      </c>
      <c r="V16" s="31">
        <f>18500+(621+8278)+760</f>
        <v>28159</v>
      </c>
      <c r="W16" s="38">
        <f t="shared" si="1"/>
        <v>0</v>
      </c>
      <c r="X16" s="5"/>
    </row>
    <row r="17" spans="2:24" x14ac:dyDescent="0.25">
      <c r="B17" s="4"/>
      <c r="C17" s="112">
        <v>41921</v>
      </c>
      <c r="D17" s="23" t="s">
        <v>22</v>
      </c>
      <c r="E17" s="86"/>
      <c r="F17" s="42"/>
      <c r="G17" s="25"/>
      <c r="H17" s="25"/>
      <c r="I17" s="95"/>
      <c r="J17" s="45"/>
      <c r="K17" s="28">
        <f>COUNTPARTS(E17)+COUNTPARTS(G17:I17)</f>
        <v>0</v>
      </c>
      <c r="L17" s="39">
        <f>77+11+12+31+11</f>
        <v>142</v>
      </c>
      <c r="M17" s="25"/>
      <c r="N17" s="25"/>
      <c r="O17" s="95"/>
      <c r="P17" s="45"/>
      <c r="Q17" s="102"/>
      <c r="R17" s="47"/>
      <c r="S17" s="24">
        <f>COUNTPARTS(L17:O17)+COUNTPARTS(Q17)</f>
        <v>142</v>
      </c>
      <c r="T17" s="4"/>
      <c r="U17" s="35">
        <f t="shared" si="0"/>
        <v>28017</v>
      </c>
      <c r="V17" s="31"/>
      <c r="W17" s="38" t="str">
        <f t="shared" si="1"/>
        <v/>
      </c>
      <c r="X17" s="5"/>
    </row>
    <row r="18" spans="2:24" x14ac:dyDescent="0.25">
      <c r="B18" s="4"/>
      <c r="C18" s="112">
        <v>41922</v>
      </c>
      <c r="D18" s="23" t="s">
        <v>23</v>
      </c>
      <c r="E18" s="87">
        <v>5800</v>
      </c>
      <c r="F18" s="42" t="s">
        <v>40</v>
      </c>
      <c r="G18" s="25"/>
      <c r="H18" s="25"/>
      <c r="I18" s="95"/>
      <c r="J18" s="45"/>
      <c r="K18" s="28">
        <f>COUNTPARTS(E18)+COUNTPARTS(G18:I18)</f>
        <v>5800</v>
      </c>
      <c r="L18" s="39"/>
      <c r="M18" s="25">
        <v>400</v>
      </c>
      <c r="N18" s="25"/>
      <c r="O18" s="95" t="s">
        <v>59</v>
      </c>
      <c r="P18" s="45" t="s">
        <v>73</v>
      </c>
      <c r="Q18" s="102" t="s">
        <v>89</v>
      </c>
      <c r="R18" s="47" t="s">
        <v>78</v>
      </c>
      <c r="S18" s="28">
        <f>COUNTPARTS(L18:O18)+COUNTPARTS(Q18)</f>
        <v>6137</v>
      </c>
      <c r="T18" s="4"/>
      <c r="U18" s="35">
        <f t="shared" si="0"/>
        <v>27680</v>
      </c>
      <c r="V18" s="31">
        <f>18500+(621+8014)+542</f>
        <v>27677</v>
      </c>
      <c r="W18" s="38">
        <f t="shared" si="1"/>
        <v>-3</v>
      </c>
      <c r="X18" s="5"/>
    </row>
    <row r="19" spans="2:24" x14ac:dyDescent="0.25">
      <c r="B19" s="4"/>
      <c r="C19" s="112">
        <v>41923</v>
      </c>
      <c r="D19" s="23" t="s">
        <v>24</v>
      </c>
      <c r="E19" s="88"/>
      <c r="F19" s="41"/>
      <c r="G19" s="22"/>
      <c r="H19" s="22"/>
      <c r="I19" s="96">
        <v>100</v>
      </c>
      <c r="J19" s="44" t="s">
        <v>32</v>
      </c>
      <c r="K19" s="60">
        <f>COUNTPARTS(E19)+COUNTPARTS(G19:I19)</f>
        <v>100</v>
      </c>
      <c r="L19" s="29">
        <v>100</v>
      </c>
      <c r="M19" s="22">
        <v>500</v>
      </c>
      <c r="N19" s="22">
        <v>100</v>
      </c>
      <c r="O19" s="96">
        <v>198</v>
      </c>
      <c r="P19" s="44" t="s">
        <v>42</v>
      </c>
      <c r="Q19" s="103" t="s">
        <v>88</v>
      </c>
      <c r="R19" s="48" t="s">
        <v>79</v>
      </c>
      <c r="S19" s="24">
        <f>COUNTPARTS(L19:O19)+COUNTPARTS(Q19)</f>
        <v>6355</v>
      </c>
      <c r="T19" s="4"/>
      <c r="U19" s="35">
        <f t="shared" si="0"/>
        <v>21425</v>
      </c>
      <c r="V19" s="31"/>
      <c r="W19" s="38" t="str">
        <f t="shared" si="1"/>
        <v/>
      </c>
      <c r="X19" s="5"/>
    </row>
    <row r="20" spans="2:24" ht="15.75" thickBot="1" x14ac:dyDescent="0.3">
      <c r="B20" s="4"/>
      <c r="C20" s="113">
        <v>41924</v>
      </c>
      <c r="D20" s="34" t="s">
        <v>25</v>
      </c>
      <c r="E20" s="89">
        <v>300</v>
      </c>
      <c r="F20" s="62" t="s">
        <v>8</v>
      </c>
      <c r="G20" s="63"/>
      <c r="H20" s="63"/>
      <c r="I20" s="97"/>
      <c r="J20" s="64"/>
      <c r="K20" s="78">
        <f>COUNTPARTS(E20)+COUNTPARTS(G20:I20)</f>
        <v>300</v>
      </c>
      <c r="L20" s="79"/>
      <c r="M20" s="63">
        <v>414</v>
      </c>
      <c r="N20" s="63"/>
      <c r="O20" s="97"/>
      <c r="P20" s="64"/>
      <c r="Q20" s="104"/>
      <c r="R20" s="66"/>
      <c r="S20" s="34">
        <f>COUNTPARTS(L20:O20)+COUNTPARTS(Q20)</f>
        <v>414</v>
      </c>
      <c r="T20" s="4"/>
      <c r="U20" s="35">
        <f t="shared" si="0"/>
        <v>21311</v>
      </c>
      <c r="V20" s="31"/>
      <c r="W20" s="38" t="str">
        <f t="shared" si="1"/>
        <v/>
      </c>
      <c r="X20" s="5"/>
    </row>
    <row r="21" spans="2:24" x14ac:dyDescent="0.25">
      <c r="B21" s="4"/>
      <c r="C21" s="112">
        <v>41925</v>
      </c>
      <c r="D21" s="23" t="s">
        <v>26</v>
      </c>
      <c r="E21" s="87"/>
      <c r="F21" s="42"/>
      <c r="G21" s="25"/>
      <c r="H21" s="25"/>
      <c r="I21" s="95"/>
      <c r="J21" s="45"/>
      <c r="K21" s="77">
        <f>COUNTPARTS(E21)+COUNTPARTS(G21:I21)</f>
        <v>0</v>
      </c>
      <c r="L21" s="61">
        <f>(170+20)+52</f>
        <v>242</v>
      </c>
      <c r="M21" s="25"/>
      <c r="N21" s="25"/>
      <c r="O21" s="95">
        <v>98</v>
      </c>
      <c r="P21" s="45" t="s">
        <v>41</v>
      </c>
      <c r="Q21" s="102"/>
      <c r="R21" s="47"/>
      <c r="S21" s="28">
        <f>COUNTPARTS(L21:O21)+COUNTPARTS(Q21)</f>
        <v>340</v>
      </c>
      <c r="T21" s="4"/>
      <c r="U21" s="35">
        <f t="shared" si="0"/>
        <v>20971</v>
      </c>
      <c r="V21" s="31">
        <f>18500+(621+1850)+10</f>
        <v>20981</v>
      </c>
      <c r="W21" s="38">
        <f t="shared" si="1"/>
        <v>10</v>
      </c>
      <c r="X21" s="5"/>
    </row>
    <row r="22" spans="2:24" x14ac:dyDescent="0.25">
      <c r="B22" s="4"/>
      <c r="C22" s="112">
        <v>41926</v>
      </c>
      <c r="D22" s="23" t="s">
        <v>27</v>
      </c>
      <c r="E22" s="87"/>
      <c r="F22" s="42"/>
      <c r="G22" s="25">
        <v>200</v>
      </c>
      <c r="H22" s="25"/>
      <c r="I22" s="95">
        <v>2254</v>
      </c>
      <c r="J22" s="45" t="s">
        <v>43</v>
      </c>
      <c r="K22" s="27">
        <f>COUNTPARTS(E22)+COUNTPARTS(G22:I22)</f>
        <v>2454</v>
      </c>
      <c r="L22" s="39">
        <f>35+29+35+45+45</f>
        <v>189</v>
      </c>
      <c r="M22" s="25"/>
      <c r="N22" s="25"/>
      <c r="O22" s="95"/>
      <c r="P22" s="45"/>
      <c r="Q22" s="102"/>
      <c r="R22" s="47"/>
      <c r="S22" s="24">
        <f>COUNTPARTS(L22:O22)+COUNTPARTS(Q22)</f>
        <v>189</v>
      </c>
      <c r="T22" s="4"/>
      <c r="U22" s="35">
        <f t="shared" si="0"/>
        <v>23236</v>
      </c>
      <c r="V22" s="31"/>
      <c r="W22" s="38" t="str">
        <f t="shared" si="1"/>
        <v/>
      </c>
      <c r="X22" s="5"/>
    </row>
    <row r="23" spans="2:24" x14ac:dyDescent="0.25">
      <c r="B23" s="4"/>
      <c r="C23" s="112">
        <v>41927</v>
      </c>
      <c r="D23" s="23" t="s">
        <v>21</v>
      </c>
      <c r="E23" s="88"/>
      <c r="F23" s="41"/>
      <c r="G23" s="22"/>
      <c r="H23" s="22"/>
      <c r="I23" s="96">
        <v>100</v>
      </c>
      <c r="J23" s="44" t="s">
        <v>45</v>
      </c>
      <c r="K23" s="40">
        <f>COUNTPARTS(E23)+COUNTPARTS(G23:I23)</f>
        <v>100</v>
      </c>
      <c r="L23" s="21">
        <v>107</v>
      </c>
      <c r="M23" s="22">
        <v>400</v>
      </c>
      <c r="N23" s="22"/>
      <c r="O23" s="96" t="s">
        <v>60</v>
      </c>
      <c r="P23" s="44" t="s">
        <v>61</v>
      </c>
      <c r="Q23" s="103">
        <v>600</v>
      </c>
      <c r="R23" s="48" t="s">
        <v>44</v>
      </c>
      <c r="S23" s="24">
        <f>COUNTPARTS(L23:O23)+COUNTPARTS(Q23)</f>
        <v>1914</v>
      </c>
      <c r="T23" s="4"/>
      <c r="U23" s="35">
        <f t="shared" si="0"/>
        <v>21422</v>
      </c>
      <c r="V23" s="31">
        <f>18500+(621+1997)+310</f>
        <v>21428</v>
      </c>
      <c r="W23" s="38">
        <f t="shared" si="1"/>
        <v>6</v>
      </c>
      <c r="X23" s="5"/>
    </row>
    <row r="24" spans="2:24" x14ac:dyDescent="0.25">
      <c r="B24" s="4"/>
      <c r="C24" s="112">
        <v>41928</v>
      </c>
      <c r="D24" s="23" t="s">
        <v>22</v>
      </c>
      <c r="E24" s="86"/>
      <c r="F24" s="42"/>
      <c r="G24" s="25"/>
      <c r="H24" s="25"/>
      <c r="I24" s="95"/>
      <c r="J24" s="45"/>
      <c r="K24" s="28">
        <f>COUNTPARTS(E24)+COUNTPARTS(G24:I24)</f>
        <v>0</v>
      </c>
      <c r="L24" s="39"/>
      <c r="M24" s="25"/>
      <c r="N24" s="25"/>
      <c r="O24" s="95"/>
      <c r="P24" s="45"/>
      <c r="Q24" s="102">
        <v>1800</v>
      </c>
      <c r="R24" s="47" t="s">
        <v>46</v>
      </c>
      <c r="S24" s="24">
        <f>COUNTPARTS(L24:O24)+COUNTPARTS(Q24)</f>
        <v>1800</v>
      </c>
      <c r="T24" s="4"/>
      <c r="U24" s="35">
        <f t="shared" si="0"/>
        <v>19622</v>
      </c>
      <c r="V24" s="31"/>
      <c r="W24" s="38" t="str">
        <f t="shared" si="1"/>
        <v/>
      </c>
      <c r="X24" s="5"/>
    </row>
    <row r="25" spans="2:24" x14ac:dyDescent="0.25">
      <c r="B25" s="4"/>
      <c r="C25" s="112">
        <v>41929</v>
      </c>
      <c r="D25" s="23" t="s">
        <v>23</v>
      </c>
      <c r="E25" s="87">
        <v>6300</v>
      </c>
      <c r="F25" s="42" t="s">
        <v>91</v>
      </c>
      <c r="G25" s="25"/>
      <c r="H25" s="25"/>
      <c r="I25" s="95"/>
      <c r="J25" s="45"/>
      <c r="K25" s="27">
        <f>COUNTPARTS(E25)+COUNTPARTS(G25:I25)</f>
        <v>6300</v>
      </c>
      <c r="L25" s="39"/>
      <c r="M25" s="25"/>
      <c r="N25" s="25"/>
      <c r="O25" s="95"/>
      <c r="P25" s="45"/>
      <c r="Q25" s="102" t="s">
        <v>80</v>
      </c>
      <c r="R25" s="47" t="s">
        <v>81</v>
      </c>
      <c r="S25" s="28">
        <f>COUNTPARTS(L25:O25)+COUNTPARTS(Q25)</f>
        <v>6158</v>
      </c>
      <c r="T25" s="4"/>
      <c r="U25" s="35">
        <f t="shared" si="0"/>
        <v>19764</v>
      </c>
      <c r="V25" s="31">
        <f>18500+(621+339)+310</f>
        <v>19770</v>
      </c>
      <c r="W25" s="38">
        <f t="shared" si="1"/>
        <v>6</v>
      </c>
      <c r="X25" s="5"/>
    </row>
    <row r="26" spans="2:24" x14ac:dyDescent="0.25">
      <c r="B26" s="4"/>
      <c r="C26" s="112">
        <v>41930</v>
      </c>
      <c r="D26" s="23" t="s">
        <v>24</v>
      </c>
      <c r="E26" s="88">
        <v>100</v>
      </c>
      <c r="F26" s="41" t="s">
        <v>30</v>
      </c>
      <c r="G26" s="22"/>
      <c r="H26" s="22"/>
      <c r="I26" s="96"/>
      <c r="J26" s="44"/>
      <c r="K26" s="40">
        <f>COUNTPARTS(E26)+COUNTPARTS(G26:I26)</f>
        <v>100</v>
      </c>
      <c r="L26" s="21"/>
      <c r="M26" s="22"/>
      <c r="N26" s="22">
        <v>100</v>
      </c>
      <c r="O26" s="96">
        <v>586</v>
      </c>
      <c r="P26" s="44" t="s">
        <v>74</v>
      </c>
      <c r="Q26" s="103">
        <v>10</v>
      </c>
      <c r="R26" s="48" t="s">
        <v>49</v>
      </c>
      <c r="S26" s="24">
        <f>COUNTPARTS(L26:O26)+COUNTPARTS(Q26)</f>
        <v>696</v>
      </c>
      <c r="T26" s="4"/>
      <c r="U26" s="35">
        <f t="shared" si="0"/>
        <v>19168</v>
      </c>
      <c r="V26" s="31"/>
      <c r="W26" s="38" t="str">
        <f t="shared" si="1"/>
        <v/>
      </c>
      <c r="X26" s="5"/>
    </row>
    <row r="27" spans="2:24" ht="15.75" thickBot="1" x14ac:dyDescent="0.3">
      <c r="B27" s="4"/>
      <c r="C27" s="113">
        <v>41931</v>
      </c>
      <c r="D27" s="34" t="s">
        <v>25</v>
      </c>
      <c r="E27" s="89"/>
      <c r="F27" s="62"/>
      <c r="G27" s="63"/>
      <c r="H27" s="63"/>
      <c r="I27" s="97"/>
      <c r="J27" s="64"/>
      <c r="K27" s="76">
        <f>COUNTPARTS(E27)+COUNTPARTS(G27:I27)</f>
        <v>0</v>
      </c>
      <c r="L27" s="65"/>
      <c r="M27" s="63"/>
      <c r="N27" s="63"/>
      <c r="O27" s="97" t="s">
        <v>75</v>
      </c>
      <c r="P27" s="64" t="s">
        <v>62</v>
      </c>
      <c r="Q27" s="104"/>
      <c r="R27" s="66"/>
      <c r="S27" s="34">
        <f>COUNTPARTS(L27:O27)+COUNTPARTS(Q27)</f>
        <v>770</v>
      </c>
      <c r="T27" s="4"/>
      <c r="U27" s="35">
        <f t="shared" si="0"/>
        <v>18398</v>
      </c>
      <c r="V27" s="31"/>
      <c r="W27" s="38" t="str">
        <f>IF(V27="","",V27-U27)</f>
        <v/>
      </c>
      <c r="X27" s="5"/>
    </row>
    <row r="28" spans="2:24" x14ac:dyDescent="0.25">
      <c r="B28" s="4"/>
      <c r="C28" s="112">
        <v>41932</v>
      </c>
      <c r="D28" s="23" t="s">
        <v>26</v>
      </c>
      <c r="E28" s="86"/>
      <c r="F28" s="43"/>
      <c r="G28" s="32"/>
      <c r="H28" s="32"/>
      <c r="I28" s="95">
        <v>8622</v>
      </c>
      <c r="J28" s="46" t="s">
        <v>48</v>
      </c>
      <c r="K28" s="27">
        <f>COUNTPARTS(E28)+COUNTPARTS(G28:I28)</f>
        <v>8622</v>
      </c>
      <c r="L28" s="61">
        <v>30</v>
      </c>
      <c r="M28" s="25"/>
      <c r="N28" s="25"/>
      <c r="O28" s="95"/>
      <c r="P28" s="45"/>
      <c r="Q28" s="102">
        <v>200</v>
      </c>
      <c r="R28" s="47" t="s">
        <v>47</v>
      </c>
      <c r="S28" s="24">
        <f>COUNTPARTS(L28:O28)+COUNTPARTS(Q28)</f>
        <v>230</v>
      </c>
      <c r="T28" s="4"/>
      <c r="U28" s="35">
        <f t="shared" si="0"/>
        <v>26790</v>
      </c>
      <c r="V28" s="31"/>
      <c r="W28" s="38" t="str">
        <f>IF(V28="","",V28-U28)</f>
        <v/>
      </c>
      <c r="X28" s="5"/>
    </row>
    <row r="29" spans="2:24" x14ac:dyDescent="0.25">
      <c r="B29" s="4"/>
      <c r="C29" s="112">
        <v>41933</v>
      </c>
      <c r="D29" s="23" t="s">
        <v>27</v>
      </c>
      <c r="E29" s="87"/>
      <c r="F29" s="44"/>
      <c r="G29" s="22">
        <v>80</v>
      </c>
      <c r="H29" s="22"/>
      <c r="I29" s="95"/>
      <c r="J29" s="44"/>
      <c r="K29" s="40">
        <f>COUNTPARTS(E29)+COUNTPARTS(G29:I29)</f>
        <v>80</v>
      </c>
      <c r="L29" s="39">
        <v>35</v>
      </c>
      <c r="M29" s="25"/>
      <c r="N29" s="25"/>
      <c r="O29" s="95"/>
      <c r="P29" s="45"/>
      <c r="Q29" s="102">
        <v>35</v>
      </c>
      <c r="R29" s="48" t="s">
        <v>87</v>
      </c>
      <c r="S29" s="24">
        <f>COUNTPARTS(L29:O29)+COUNTPARTS(Q29)</f>
        <v>70</v>
      </c>
      <c r="T29" s="4"/>
      <c r="U29" s="35">
        <f t="shared" si="0"/>
        <v>26800</v>
      </c>
      <c r="V29" s="31">
        <f>17500+(621+8675)+10</f>
        <v>26806</v>
      </c>
      <c r="W29" s="38">
        <f t="shared" si="1"/>
        <v>6</v>
      </c>
      <c r="X29" s="5"/>
    </row>
    <row r="30" spans="2:24" x14ac:dyDescent="0.25">
      <c r="B30" s="4"/>
      <c r="C30" s="112">
        <v>41934</v>
      </c>
      <c r="D30" s="23" t="s">
        <v>21</v>
      </c>
      <c r="E30" s="88"/>
      <c r="F30" s="41"/>
      <c r="G30" s="22"/>
      <c r="H30" s="22">
        <v>1200</v>
      </c>
      <c r="I30" s="96"/>
      <c r="J30" s="44"/>
      <c r="K30" s="40">
        <f>COUNTPARTS(E30)+COUNTPARTS(G30:I30)</f>
        <v>1200</v>
      </c>
      <c r="L30" s="21"/>
      <c r="M30" s="22"/>
      <c r="N30" s="22"/>
      <c r="O30" s="96" t="s">
        <v>63</v>
      </c>
      <c r="P30" s="44" t="s">
        <v>64</v>
      </c>
      <c r="Q30" s="103"/>
      <c r="R30" s="48"/>
      <c r="S30" s="24">
        <f>COUNTPARTS(L30:O30)+COUNTPARTS(Q30)</f>
        <v>101</v>
      </c>
      <c r="T30" s="4"/>
      <c r="U30" s="35">
        <f t="shared" si="0"/>
        <v>27899</v>
      </c>
      <c r="V30" s="31"/>
      <c r="W30" s="38" t="str">
        <f t="shared" si="1"/>
        <v/>
      </c>
      <c r="X30" s="5"/>
    </row>
    <row r="31" spans="2:24" x14ac:dyDescent="0.25">
      <c r="B31" s="4"/>
      <c r="C31" s="112">
        <v>41935</v>
      </c>
      <c r="D31" s="23" t="s">
        <v>22</v>
      </c>
      <c r="E31" s="86"/>
      <c r="F31" s="42"/>
      <c r="G31" s="25">
        <v>400</v>
      </c>
      <c r="H31" s="25"/>
      <c r="I31" s="95"/>
      <c r="J31" s="45"/>
      <c r="K31" s="28">
        <f>COUNTPARTS(E31)+COUNTPARTS(G31:I31)</f>
        <v>400</v>
      </c>
      <c r="L31" s="39">
        <v>44</v>
      </c>
      <c r="M31" s="25"/>
      <c r="N31" s="25"/>
      <c r="O31" s="95" t="s">
        <v>65</v>
      </c>
      <c r="P31" s="45" t="s">
        <v>66</v>
      </c>
      <c r="Q31" s="102" t="s">
        <v>82</v>
      </c>
      <c r="R31" s="47" t="s">
        <v>83</v>
      </c>
      <c r="S31" s="28">
        <f>COUNTPARTS(L31:O31)+COUNTPARTS(Q31)</f>
        <v>903</v>
      </c>
      <c r="T31" s="4"/>
      <c r="U31" s="35">
        <f t="shared" si="0"/>
        <v>27396</v>
      </c>
      <c r="V31" s="31"/>
      <c r="W31" s="38" t="str">
        <f t="shared" si="1"/>
        <v/>
      </c>
      <c r="X31" s="5"/>
    </row>
    <row r="32" spans="2:24" x14ac:dyDescent="0.25">
      <c r="B32" s="4"/>
      <c r="C32" s="112">
        <v>41936</v>
      </c>
      <c r="D32" s="23" t="s">
        <v>23</v>
      </c>
      <c r="E32" s="87"/>
      <c r="F32" s="42"/>
      <c r="G32" s="25"/>
      <c r="H32" s="25"/>
      <c r="I32" s="95"/>
      <c r="J32" s="45"/>
      <c r="K32" s="28">
        <f>COUNTPARTS(E32)+COUNTPARTS(G32:I32)</f>
        <v>0</v>
      </c>
      <c r="L32" s="39">
        <v>45</v>
      </c>
      <c r="M32" s="25"/>
      <c r="N32" s="25">
        <v>100</v>
      </c>
      <c r="O32" s="95" t="s">
        <v>67</v>
      </c>
      <c r="P32" s="45" t="s">
        <v>68</v>
      </c>
      <c r="Q32" s="102">
        <v>50</v>
      </c>
      <c r="R32" s="47" t="s">
        <v>50</v>
      </c>
      <c r="S32" s="24">
        <f>COUNTPARTS(L32:O32)+COUNTPARTS(Q32)</f>
        <v>852</v>
      </c>
      <c r="T32" s="4"/>
      <c r="U32" s="35">
        <f t="shared" si="0"/>
        <v>26544</v>
      </c>
      <c r="V32" s="31">
        <f>17500+(621+8383)+54</f>
        <v>26558</v>
      </c>
      <c r="W32" s="38">
        <f t="shared" si="1"/>
        <v>14</v>
      </c>
      <c r="X32" s="5"/>
    </row>
    <row r="33" spans="2:24" x14ac:dyDescent="0.25">
      <c r="B33" s="4"/>
      <c r="C33" s="112">
        <v>41937</v>
      </c>
      <c r="D33" s="23" t="s">
        <v>24</v>
      </c>
      <c r="E33" s="88"/>
      <c r="F33" s="41"/>
      <c r="G33" s="22"/>
      <c r="H33" s="22"/>
      <c r="I33" s="96"/>
      <c r="J33" s="44"/>
      <c r="K33" s="40">
        <f>COUNTPARTS(E33)+COUNTPARTS(G33:I33)</f>
        <v>0</v>
      </c>
      <c r="L33" s="21"/>
      <c r="M33" s="22">
        <v>300</v>
      </c>
      <c r="N33" s="22"/>
      <c r="O33" s="96">
        <v>30</v>
      </c>
      <c r="P33" s="44" t="s">
        <v>38</v>
      </c>
      <c r="Q33" s="103" t="s">
        <v>84</v>
      </c>
      <c r="R33" s="48" t="s">
        <v>85</v>
      </c>
      <c r="S33" s="24">
        <f>COUNTPARTS(L33:O33)+COUNTPARTS(Q33)</f>
        <v>3579</v>
      </c>
      <c r="T33" s="4"/>
      <c r="U33" s="35">
        <f t="shared" si="0"/>
        <v>22965</v>
      </c>
      <c r="V33" s="31">
        <f>17500+(621+4814)+46</f>
        <v>22981</v>
      </c>
      <c r="W33" s="38">
        <f t="shared" si="1"/>
        <v>16</v>
      </c>
      <c r="X33" s="5"/>
    </row>
    <row r="34" spans="2:24" ht="15.75" thickBot="1" x14ac:dyDescent="0.3">
      <c r="B34" s="4"/>
      <c r="C34" s="113">
        <v>41938</v>
      </c>
      <c r="D34" s="34" t="s">
        <v>25</v>
      </c>
      <c r="E34" s="89"/>
      <c r="F34" s="80"/>
      <c r="G34" s="63"/>
      <c r="H34" s="63"/>
      <c r="I34" s="97">
        <v>500</v>
      </c>
      <c r="J34" s="64" t="s">
        <v>32</v>
      </c>
      <c r="K34" s="76">
        <f>COUNTPARTS(E34)+COUNTPARTS(G34:I34)</f>
        <v>500</v>
      </c>
      <c r="L34" s="65"/>
      <c r="M34" s="63">
        <v>300</v>
      </c>
      <c r="N34" s="63"/>
      <c r="O34" s="97" t="s">
        <v>69</v>
      </c>
      <c r="P34" s="64" t="s">
        <v>70</v>
      </c>
      <c r="Q34" s="104"/>
      <c r="R34" s="66"/>
      <c r="S34" s="34">
        <f>COUNTPARTS(L34:O34)+COUNTPARTS(Q34)</f>
        <v>838</v>
      </c>
      <c r="T34" s="4"/>
      <c r="U34" s="35">
        <f t="shared" si="0"/>
        <v>22627</v>
      </c>
      <c r="V34" s="31"/>
      <c r="W34" s="38" t="str">
        <f t="shared" si="1"/>
        <v/>
      </c>
      <c r="X34" s="5"/>
    </row>
    <row r="35" spans="2:24" x14ac:dyDescent="0.25">
      <c r="B35" s="4"/>
      <c r="C35" s="112">
        <v>41939</v>
      </c>
      <c r="D35" s="23" t="s">
        <v>26</v>
      </c>
      <c r="E35" s="87"/>
      <c r="F35" s="42"/>
      <c r="G35" s="25">
        <v>188</v>
      </c>
      <c r="H35" s="25"/>
      <c r="I35" s="95"/>
      <c r="J35" s="45"/>
      <c r="K35" s="28">
        <f>COUNTPARTS(E35)+COUNTPARTS(G35:I35)</f>
        <v>188</v>
      </c>
      <c r="L35" s="39">
        <v>127</v>
      </c>
      <c r="M35" s="25"/>
      <c r="N35" s="25"/>
      <c r="O35" s="95"/>
      <c r="P35" s="45"/>
      <c r="Q35" s="102"/>
      <c r="R35" s="47"/>
      <c r="S35" s="24">
        <f>COUNTPARTS(L35:O35)+COUNTPARTS(Q35)</f>
        <v>127</v>
      </c>
      <c r="T35" s="4"/>
      <c r="U35" s="35">
        <f t="shared" si="0"/>
        <v>22688</v>
      </c>
      <c r="V35" s="31"/>
      <c r="W35" s="38" t="str">
        <f t="shared" si="1"/>
        <v/>
      </c>
      <c r="X35" s="5"/>
    </row>
    <row r="36" spans="2:24" x14ac:dyDescent="0.25">
      <c r="B36" s="4"/>
      <c r="C36" s="112">
        <v>41940</v>
      </c>
      <c r="D36" s="23" t="s">
        <v>27</v>
      </c>
      <c r="E36" s="90"/>
      <c r="F36" s="43"/>
      <c r="G36" s="32">
        <v>100</v>
      </c>
      <c r="H36" s="32"/>
      <c r="I36" s="98"/>
      <c r="J36" s="46"/>
      <c r="K36" s="27">
        <f>COUNTPARTS(E36)+COUNTPARTS(G36:I36)</f>
        <v>100</v>
      </c>
      <c r="L36" s="33">
        <f>70+35</f>
        <v>105</v>
      </c>
      <c r="M36" s="32"/>
      <c r="N36" s="32"/>
      <c r="O36" s="98"/>
      <c r="P36" s="46"/>
      <c r="Q36" s="105">
        <v>259</v>
      </c>
      <c r="R36" s="49" t="s">
        <v>51</v>
      </c>
      <c r="S36" s="24">
        <f>COUNTPARTS(L36:O36)+COUNTPARTS(Q36)</f>
        <v>364</v>
      </c>
      <c r="T36" s="4"/>
      <c r="U36" s="35">
        <f t="shared" si="0"/>
        <v>22424</v>
      </c>
      <c r="V36" s="31"/>
      <c r="W36" s="38" t="str">
        <f t="shared" si="1"/>
        <v/>
      </c>
      <c r="X36" s="5"/>
    </row>
    <row r="37" spans="2:24" x14ac:dyDescent="0.25">
      <c r="B37" s="4"/>
      <c r="C37" s="112">
        <v>41941</v>
      </c>
      <c r="D37" s="23" t="s">
        <v>21</v>
      </c>
      <c r="E37" s="88"/>
      <c r="F37" s="41"/>
      <c r="G37" s="22">
        <v>200</v>
      </c>
      <c r="H37" s="22">
        <v>1200</v>
      </c>
      <c r="I37" s="96"/>
      <c r="J37" s="44"/>
      <c r="K37" s="40">
        <f>COUNTPARTS(E37)+COUNTPARTS(G37:I37)</f>
        <v>1400</v>
      </c>
      <c r="L37" s="21">
        <v>10</v>
      </c>
      <c r="M37" s="22"/>
      <c r="N37" s="22"/>
      <c r="O37" s="96">
        <v>169</v>
      </c>
      <c r="P37" s="44" t="s">
        <v>41</v>
      </c>
      <c r="Q37" s="103"/>
      <c r="R37" s="48"/>
      <c r="S37" s="74">
        <f>COUNTPARTS(L37:O37)+COUNTPARTS(Q37)</f>
        <v>179</v>
      </c>
      <c r="T37" s="4"/>
      <c r="U37" s="35">
        <f t="shared" si="0"/>
        <v>23645</v>
      </c>
      <c r="V37" s="31">
        <f>18000+(362+4044)+1250</f>
        <v>23656</v>
      </c>
      <c r="W37" s="38">
        <f t="shared" si="1"/>
        <v>11</v>
      </c>
      <c r="X37" s="5"/>
    </row>
    <row r="38" spans="2:24" x14ac:dyDescent="0.25">
      <c r="B38" s="4"/>
      <c r="C38" s="112">
        <v>41942</v>
      </c>
      <c r="D38" s="23" t="s">
        <v>22</v>
      </c>
      <c r="E38" s="88"/>
      <c r="F38" s="41"/>
      <c r="G38" s="22"/>
      <c r="H38" s="22"/>
      <c r="I38" s="96"/>
      <c r="J38" s="44"/>
      <c r="K38" s="40">
        <f>COUNTPARTS(E38)+COUNTPARTS(G38:I38)</f>
        <v>0</v>
      </c>
      <c r="L38" s="21">
        <v>150</v>
      </c>
      <c r="M38" s="22">
        <v>300</v>
      </c>
      <c r="N38" s="22">
        <v>50</v>
      </c>
      <c r="O38" s="96" t="s">
        <v>71</v>
      </c>
      <c r="P38" s="44" t="s">
        <v>72</v>
      </c>
      <c r="Q38" s="103"/>
      <c r="R38" s="48"/>
      <c r="S38" s="74">
        <f>COUNTPARTS(L38:O38)+COUNTPARTS(Q38)</f>
        <v>1453</v>
      </c>
      <c r="T38" s="4"/>
      <c r="U38" s="35">
        <f t="shared" si="0"/>
        <v>22192</v>
      </c>
      <c r="V38" s="9"/>
      <c r="W38" s="38"/>
      <c r="X38" s="5"/>
    </row>
    <row r="39" spans="2:24" ht="15.75" thickBot="1" x14ac:dyDescent="0.3">
      <c r="B39" s="4"/>
      <c r="C39" s="113">
        <v>41943</v>
      </c>
      <c r="D39" s="34" t="s">
        <v>23</v>
      </c>
      <c r="E39" s="89">
        <v>2800</v>
      </c>
      <c r="F39" s="62" t="s">
        <v>52</v>
      </c>
      <c r="G39" s="63">
        <v>200</v>
      </c>
      <c r="H39" s="63"/>
      <c r="I39" s="97">
        <v>16382</v>
      </c>
      <c r="J39" s="64" t="s">
        <v>31</v>
      </c>
      <c r="K39" s="40">
        <f>COUNTPARTS(E39)+COUNTPARTS(G39:I39)</f>
        <v>19382</v>
      </c>
      <c r="L39" s="65">
        <v>65</v>
      </c>
      <c r="M39" s="63"/>
      <c r="N39" s="63"/>
      <c r="O39" s="97">
        <v>167</v>
      </c>
      <c r="P39" s="64" t="s">
        <v>41</v>
      </c>
      <c r="Q39" s="104">
        <v>2700</v>
      </c>
      <c r="R39" s="66" t="s">
        <v>52</v>
      </c>
      <c r="S39" s="74">
        <f>COUNTPARTS(L39:O39)+COUNTPARTS(Q39)</f>
        <v>2932</v>
      </c>
      <c r="T39" s="4"/>
      <c r="U39" s="35">
        <f t="shared" si="0"/>
        <v>38642</v>
      </c>
      <c r="V39" s="13">
        <f>18000+(362+19874)+408</f>
        <v>38644</v>
      </c>
      <c r="W39" s="38">
        <f t="shared" si="1"/>
        <v>2</v>
      </c>
      <c r="X39" s="5"/>
    </row>
    <row r="40" spans="2:24" ht="15.75" thickBot="1" x14ac:dyDescent="0.3">
      <c r="B40" s="4"/>
      <c r="C40" s="147" t="s">
        <v>4</v>
      </c>
      <c r="D40" s="148"/>
      <c r="E40" s="146">
        <f>COUNTPARTS(E9:E39)</f>
        <v>16000</v>
      </c>
      <c r="F40" s="145"/>
      <c r="G40" s="50">
        <f>SUM(G9:G39)</f>
        <v>1768</v>
      </c>
      <c r="H40" s="51">
        <f>SUM(H9:H39)</f>
        <v>3600</v>
      </c>
      <c r="I40" s="144">
        <f>COUNTPARTS(I9:I39)</f>
        <v>50379</v>
      </c>
      <c r="J40" s="145"/>
      <c r="K40" s="54">
        <f t="shared" ref="K40:N40" si="2">SUM(K9:K39)</f>
        <v>71747</v>
      </c>
      <c r="L40" s="52">
        <f t="shared" si="2"/>
        <v>2156</v>
      </c>
      <c r="M40" s="51">
        <f t="shared" si="2"/>
        <v>3014</v>
      </c>
      <c r="N40" s="53">
        <f t="shared" si="2"/>
        <v>550</v>
      </c>
      <c r="O40" s="144">
        <f>COUNTPARTS(O9:O39)</f>
        <v>9627</v>
      </c>
      <c r="P40" s="145"/>
      <c r="Q40" s="142">
        <f>COUNTPARTS(Q9:Q39)</f>
        <v>31585</v>
      </c>
      <c r="R40" s="143"/>
      <c r="S40" s="54">
        <f>SUM(S9:S39)</f>
        <v>46932</v>
      </c>
      <c r="T40" s="4"/>
      <c r="U40" s="3"/>
      <c r="V40" s="1"/>
      <c r="W40" s="3" t="str">
        <f t="shared" si="1"/>
        <v/>
      </c>
      <c r="X40" s="5"/>
    </row>
    <row r="41" spans="2:24" x14ac:dyDescent="0.25">
      <c r="B41" s="4"/>
      <c r="C41" s="106" t="s">
        <v>92</v>
      </c>
      <c r="D41" s="55">
        <f>W39</f>
        <v>2</v>
      </c>
      <c r="E41" s="114"/>
      <c r="F41" s="81"/>
      <c r="G41" s="58"/>
      <c r="H41" s="55"/>
      <c r="I41" s="99"/>
      <c r="J41" s="55"/>
      <c r="K41" s="30"/>
      <c r="L41" s="120"/>
      <c r="M41" s="121"/>
      <c r="N41" s="122"/>
      <c r="O41" s="99"/>
      <c r="P41" s="30" t="s">
        <v>17</v>
      </c>
      <c r="Q41" s="99">
        <f>ROUND(K40/31,1)</f>
        <v>2314.4</v>
      </c>
      <c r="R41" s="55" t="s">
        <v>16</v>
      </c>
      <c r="S41" s="56">
        <f>ROUND(S40/31,1)</f>
        <v>1513.9</v>
      </c>
      <c r="T41" s="4"/>
      <c r="U41" s="1"/>
      <c r="V41" s="1"/>
      <c r="W41" s="1"/>
      <c r="X41" s="5"/>
    </row>
    <row r="42" spans="2:24" ht="15.75" thickBot="1" x14ac:dyDescent="0.3">
      <c r="B42" s="4"/>
      <c r="C42" s="123" t="s">
        <v>14</v>
      </c>
      <c r="D42" s="124"/>
      <c r="E42" s="107">
        <f>K40-S40</f>
        <v>24815</v>
      </c>
      <c r="F42" s="57" t="s">
        <v>15</v>
      </c>
      <c r="G42" s="26">
        <f>V39-E5</f>
        <v>24817</v>
      </c>
      <c r="H42" s="57"/>
      <c r="I42" s="91"/>
      <c r="J42" s="26" t="s">
        <v>13</v>
      </c>
      <c r="K42" s="26">
        <f>G42-E42</f>
        <v>2</v>
      </c>
      <c r="L42" s="26"/>
      <c r="M42" s="26"/>
      <c r="N42" s="26"/>
      <c r="O42" s="100"/>
      <c r="P42" s="26"/>
      <c r="Q42" s="100"/>
      <c r="R42" s="26"/>
      <c r="S42" s="59"/>
      <c r="T42" s="4"/>
      <c r="U42" s="1"/>
      <c r="V42" s="1"/>
      <c r="W42" s="1"/>
      <c r="X42" s="5"/>
    </row>
    <row r="43" spans="2:24" ht="15.75" thickBot="1" x14ac:dyDescent="0.3">
      <c r="B43" s="4"/>
      <c r="C43" s="1"/>
      <c r="D43" s="1"/>
      <c r="E43" s="84"/>
      <c r="F43" s="1"/>
      <c r="G43" s="1"/>
      <c r="H43" s="1"/>
      <c r="I43" s="84"/>
      <c r="J43" s="1"/>
      <c r="K43" s="1"/>
      <c r="L43" s="1"/>
      <c r="M43" s="1"/>
      <c r="N43" s="1"/>
      <c r="O43" s="84"/>
      <c r="P43" s="1"/>
      <c r="Q43" s="84"/>
      <c r="R43" s="1"/>
      <c r="S43" s="3"/>
      <c r="T43" s="1"/>
      <c r="U43" s="1"/>
      <c r="V43" s="1"/>
      <c r="W43" s="1"/>
      <c r="X43" s="5"/>
    </row>
    <row r="44" spans="2:24" x14ac:dyDescent="0.25">
      <c r="B44" s="4"/>
      <c r="C44" s="125"/>
      <c r="D44" s="126"/>
      <c r="E44" s="127" t="s">
        <v>19</v>
      </c>
      <c r="F44" s="128"/>
      <c r="G44" s="128"/>
      <c r="H44" s="129"/>
      <c r="I44" s="84"/>
      <c r="J44" s="17"/>
      <c r="K44" s="17"/>
      <c r="L44" s="1"/>
      <c r="M44" s="1"/>
      <c r="N44" s="1"/>
      <c r="O44" s="84"/>
      <c r="P44" s="1"/>
      <c r="Q44" s="84"/>
      <c r="R44" s="1"/>
      <c r="S44" s="1"/>
      <c r="T44" s="1"/>
      <c r="U44" s="1"/>
      <c r="V44" s="1"/>
      <c r="W44" s="1"/>
      <c r="X44" s="5"/>
    </row>
    <row r="45" spans="2:24" ht="15.75" thickBot="1" x14ac:dyDescent="0.3">
      <c r="B45" s="4"/>
      <c r="C45" s="115" t="s">
        <v>6</v>
      </c>
      <c r="D45" s="116"/>
      <c r="E45" s="117">
        <f>V39</f>
        <v>38644</v>
      </c>
      <c r="F45" s="118"/>
      <c r="G45" s="118"/>
      <c r="H45" s="119"/>
      <c r="I45" s="84"/>
      <c r="J45" s="1"/>
      <c r="K45" s="1"/>
      <c r="L45" s="1"/>
      <c r="M45" s="1"/>
      <c r="N45" s="1"/>
      <c r="O45" s="84"/>
      <c r="P45" s="1"/>
      <c r="Q45" s="84"/>
      <c r="R45" s="1"/>
      <c r="S45" s="1"/>
      <c r="T45" s="1"/>
      <c r="U45" s="1"/>
      <c r="V45" s="1"/>
      <c r="W45" s="1"/>
      <c r="X45" s="5"/>
    </row>
    <row r="46" spans="2:24" ht="15.75" thickBot="1" x14ac:dyDescent="0.3">
      <c r="B46" s="6"/>
      <c r="C46" s="7"/>
      <c r="D46" s="7"/>
      <c r="E46" s="92"/>
      <c r="F46" s="7"/>
      <c r="G46" s="7"/>
      <c r="H46" s="7"/>
      <c r="I46" s="92"/>
      <c r="J46" s="7"/>
      <c r="K46" s="7"/>
      <c r="L46" s="7"/>
      <c r="M46" s="7"/>
      <c r="N46" s="7"/>
      <c r="O46" s="92"/>
      <c r="P46" s="7"/>
      <c r="Q46" s="92"/>
      <c r="R46" s="7"/>
      <c r="S46" s="7"/>
      <c r="T46" s="7"/>
      <c r="U46" s="7"/>
      <c r="V46" s="7"/>
      <c r="W46" s="7"/>
      <c r="X46" s="11"/>
    </row>
  </sheetData>
  <mergeCells count="28">
    <mergeCell ref="Q40:R40"/>
    <mergeCell ref="O40:P40"/>
    <mergeCell ref="I40:J40"/>
    <mergeCell ref="E40:F40"/>
    <mergeCell ref="C40:D40"/>
    <mergeCell ref="P4:Q4"/>
    <mergeCell ref="U4:U8"/>
    <mergeCell ref="V4:V8"/>
    <mergeCell ref="W4:W8"/>
    <mergeCell ref="L7:S7"/>
    <mergeCell ref="P5:Q5"/>
    <mergeCell ref="R4:S4"/>
    <mergeCell ref="O8:P8"/>
    <mergeCell ref="Q8:R8"/>
    <mergeCell ref="R5:S5"/>
    <mergeCell ref="C4:D4"/>
    <mergeCell ref="E7:K7"/>
    <mergeCell ref="E4:H4"/>
    <mergeCell ref="E5:H5"/>
    <mergeCell ref="C5:D5"/>
    <mergeCell ref="E8:F8"/>
    <mergeCell ref="I8:J8"/>
    <mergeCell ref="E45:H45"/>
    <mergeCell ref="L41:N41"/>
    <mergeCell ref="C42:D42"/>
    <mergeCell ref="C44:D44"/>
    <mergeCell ref="E44:H44"/>
    <mergeCell ref="C45:D45"/>
  </mergeCells>
  <pageMargins left="0.25" right="0.25" top="0.75" bottom="0.75" header="0.3" footer="0.3"/>
  <pageSetup paperSize="9" scale="4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Krokoz™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Ilya</dc:creator>
  <cp:lastModifiedBy>Смирнов</cp:lastModifiedBy>
  <cp:lastPrinted>2015-01-06T12:04:05Z</cp:lastPrinted>
  <dcterms:created xsi:type="dcterms:W3CDTF">2013-03-20T06:54:51Z</dcterms:created>
  <dcterms:modified xsi:type="dcterms:W3CDTF">2015-01-19T12:34:51Z</dcterms:modified>
</cp:coreProperties>
</file>